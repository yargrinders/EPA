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rcel Winter\Katikom\Stendal\2V1009\GBGS;Stendal;Schernikauer Straße 5;SM 211381235\"/>
    </mc:Choice>
  </mc:AlternateContent>
  <xr:revisionPtr revIDLastSave="0" documentId="13_ncr:1_{007D878D-6C50-4A97-9F2B-BF2F506401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ufmaß" sheetId="1" r:id="rId1"/>
    <sheet name="Zei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" l="1"/>
  <c r="I20" i="2"/>
  <c r="H20" i="2"/>
  <c r="G20" i="2"/>
  <c r="F20" i="2"/>
  <c r="E20" i="2"/>
  <c r="D20" i="2"/>
  <c r="C20" i="2"/>
  <c r="J20" i="2" l="1"/>
</calcChain>
</file>

<file path=xl/sharedStrings.xml><?xml version="1.0" encoding="utf-8"?>
<sst xmlns="http://schemas.openxmlformats.org/spreadsheetml/2006/main" count="117" uniqueCount="73">
  <si>
    <t>Stck</t>
  </si>
  <si>
    <t>m</t>
  </si>
  <si>
    <t>Anzahl</t>
  </si>
  <si>
    <t>Art.Nr.</t>
  </si>
  <si>
    <t>Bezeichnung</t>
  </si>
  <si>
    <t>Einheit</t>
  </si>
  <si>
    <t>SM -Nummer</t>
  </si>
  <si>
    <t>Ausführungsort</t>
  </si>
  <si>
    <t>Straße</t>
  </si>
  <si>
    <t>Datum</t>
  </si>
  <si>
    <t>Montagezeiten zum Auftrag</t>
  </si>
  <si>
    <t>Zeit von/bis</t>
  </si>
  <si>
    <t>Mitarbeiter/Stunden</t>
  </si>
  <si>
    <t>Bemerkungen</t>
  </si>
  <si>
    <t>Zirkler</t>
  </si>
  <si>
    <t>Summe</t>
  </si>
  <si>
    <t>Stein</t>
  </si>
  <si>
    <t xml:space="preserve">Gf am AP vorbereiten/verbinden </t>
  </si>
  <si>
    <t>Zulage Gf am AP</t>
  </si>
  <si>
    <t>Gf am Nvt vorbereiten/verbinden</t>
  </si>
  <si>
    <t>Zulage Gf am Nvt</t>
  </si>
  <si>
    <t>Gf ungeschweißt in Kassetten ablegen</t>
  </si>
  <si>
    <t>Installationskanäle/SNR befestigen</t>
  </si>
  <si>
    <t>Koordinationspauschale</t>
  </si>
  <si>
    <t>Std</t>
  </si>
  <si>
    <t>Muffen einmessen, Längen berichtigen</t>
  </si>
  <si>
    <t>Kabel aufnehmen und zerlegen</t>
  </si>
  <si>
    <t>Gf-AP montieren</t>
  </si>
  <si>
    <t>Gf-Innenkabel befestigen/einziehen</t>
  </si>
  <si>
    <t>Gf – Module einbauen</t>
  </si>
  <si>
    <t>ungeschnittene Bündeladern öffnen</t>
  </si>
  <si>
    <t>Einbringen von Rohre/Gf in vorhandene</t>
  </si>
  <si>
    <t>Glasfaser-Muffen herstellen</t>
  </si>
  <si>
    <t>Glasfasern vorb. u. verbinden Indoor</t>
  </si>
  <si>
    <t>Glasfasern vorb. Und verbinden Outdoor</t>
  </si>
  <si>
    <t>Fehlerortung von Kabelfehlern an Gf-Kabel</t>
  </si>
  <si>
    <t>10051733 </t>
  </si>
  <si>
    <t>HK-Kontrollmessung Massenmarkt </t>
  </si>
  <si>
    <t>10051753 </t>
  </si>
  <si>
    <t>Zulage HK-Kontrollmessung Massenmarkt </t>
  </si>
  <si>
    <t>10053162 </t>
  </si>
  <si>
    <t>Gf-HVt E&amp;MMS bestücken/nachbestücken </t>
  </si>
  <si>
    <t>10051232 </t>
  </si>
  <si>
    <t>Pigtail einseitig Indoor </t>
  </si>
  <si>
    <t>10051272 </t>
  </si>
  <si>
    <t>Pigtail einseitig Outdoor </t>
  </si>
  <si>
    <t>Prov. Brandabschottung herstellen</t>
  </si>
  <si>
    <t>Einbringen- v. Kabel/Rohren unbelegt</t>
  </si>
  <si>
    <t>Ein-/Ausbringen v. Kabel/Rohren belegt</t>
  </si>
  <si>
    <t>Einblasen v. Kabel/Rohren unbelegt</t>
  </si>
  <si>
    <t>Ein-/Ausblasen v. Kabel/Rohren belegt</t>
  </si>
  <si>
    <t>Zulage beim Einbringen von Kabeln</t>
  </si>
  <si>
    <t>HK-Kontrollmessung Individualmarkt</t>
  </si>
  <si>
    <t>Zula.HK-Kontrollmessung Individualmarkt</t>
  </si>
  <si>
    <t>Instands. v. Gf- Kabel. ohne Fehlerortung</t>
  </si>
  <si>
    <t>Zulage SNR(V) instand setzen</t>
  </si>
  <si>
    <t>Zulage Installationskanäle liefern</t>
  </si>
  <si>
    <t>10031132 </t>
  </si>
  <si>
    <t>Gf-AP abbauen </t>
  </si>
  <si>
    <t xml:space="preserve">BEMERKUNG: </t>
  </si>
  <si>
    <t>Belau</t>
  </si>
  <si>
    <t>Überstundenzulage</t>
  </si>
  <si>
    <t>Nachtzulage</t>
  </si>
  <si>
    <t>GPON PON-FMT Kontrollmessung </t>
  </si>
  <si>
    <t>FTTH- HE Gf-Mikro/Mini-Kabel blasen </t>
  </si>
  <si>
    <t>FTTH- Einblasgeräte vorhalten für HE</t>
  </si>
  <si>
    <t>Engelcke</t>
  </si>
  <si>
    <t>Zul. Inbetriebnahme Gf-One Box xs/TA</t>
  </si>
  <si>
    <t>Juschtschenko</t>
  </si>
  <si>
    <t>J.Koj</t>
  </si>
  <si>
    <t>Stendal , Möhringen</t>
  </si>
  <si>
    <t>Schernikauer Str. 5</t>
  </si>
  <si>
    <t>27.04.26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</si>
</sst>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0" fillId="4" borderId="1" xfId="0" applyFill="1" applyBorder="1"/>
    <xf numFmtId="0" fontId="8" fillId="4" borderId="1" xfId="0" applyFont="1" applyFill="1" applyBorder="1" applyAlignment="1">
      <alignment vertical="center"/>
    </xf>
    <xf numFmtId="2" fontId="6" fillId="3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0" borderId="1" xfId="0" applyFont="1" applyBorder="1" applyAlignment="1">
      <alignment horizontal="center"/>
    </xf>
    <xf numFmtId="0" fontId="0" fillId="0" borderId="4" xfId="0" applyBorder="1"/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8" fillId="4" borderId="4" xfId="0" applyFont="1" applyFill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/>
    <xf numFmtId="0" fontId="8" fillId="4" borderId="9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left"/>
    </xf>
    <xf numFmtId="0" fontId="6" fillId="0" borderId="3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49" fontId="5" fillId="0" borderId="1" xfId="1" applyNumberFormat="1" applyBorder="1" applyAlignment="1">
      <alignment horizontal="center"/>
    </xf>
    <xf numFmtId="2" fontId="5" fillId="0" borderId="1" xfId="1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5" xfId="0" applyFont="1" applyFill="1" applyBorder="1"/>
    <xf numFmtId="0" fontId="0" fillId="0" borderId="26" xfId="0" applyBorder="1"/>
    <xf numFmtId="0" fontId="0" fillId="0" borderId="27" xfId="0" applyBorder="1"/>
    <xf numFmtId="0" fontId="0" fillId="2" borderId="4" xfId="0" applyFill="1" applyBorder="1"/>
    <xf numFmtId="0" fontId="0" fillId="0" borderId="1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49" fontId="5" fillId="0" borderId="1" xfId="1" applyNumberFormat="1" applyBorder="1"/>
    <xf numFmtId="0" fontId="7" fillId="3" borderId="19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6" fillId="3" borderId="1" xfId="1" applyFont="1" applyFill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6" fillId="3" borderId="1" xfId="1" applyNumberFormat="1" applyFont="1" applyFill="1" applyBorder="1" applyAlignment="1">
      <alignment horizontal="center"/>
    </xf>
  </cellXfs>
  <cellStyles count="3">
    <cellStyle name="Link" xfId="2" builtinId="8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0</xdr:row>
      <xdr:rowOff>0</xdr:rowOff>
    </xdr:from>
    <xdr:to>
      <xdr:col>7</xdr:col>
      <xdr:colOff>466725</xdr:colOff>
      <xdr:row>2</xdr:row>
      <xdr:rowOff>188045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246F16AA-1A4E-4CF9-BCCD-94FC86159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0"/>
          <a:ext cx="1790700" cy="569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30"/>
  <sheetViews>
    <sheetView view="pageLayout" zoomScaleNormal="100" workbookViewId="0">
      <selection activeCell="D7" sqref="D7"/>
    </sheetView>
  </sheetViews>
  <sheetFormatPr baseColWidth="10" defaultColWidth="11.42578125" defaultRowHeight="15" x14ac:dyDescent="0.25"/>
  <cols>
    <col min="1" max="1" width="10.140625" customWidth="1"/>
    <col min="2" max="2" width="35.7109375" customWidth="1"/>
    <col min="3" max="3" width="8.7109375" bestFit="1" customWidth="1"/>
    <col min="4" max="4" width="7" bestFit="1" customWidth="1"/>
    <col min="5" max="5" width="10.140625" customWidth="1"/>
    <col min="6" max="6" width="35.7109375" customWidth="1"/>
    <col min="7" max="7" width="7.28515625" bestFit="1" customWidth="1"/>
    <col min="8" max="8" width="7.140625" bestFit="1" customWidth="1"/>
  </cols>
  <sheetData>
    <row r="1" spans="1:8" x14ac:dyDescent="0.25">
      <c r="A1" s="3" t="s">
        <v>6</v>
      </c>
      <c r="B1" s="52">
        <v>211381235</v>
      </c>
    </row>
    <row r="2" spans="1:8" x14ac:dyDescent="0.25">
      <c r="A2" s="3" t="s">
        <v>7</v>
      </c>
      <c r="B2" s="52" t="s">
        <v>70</v>
      </c>
    </row>
    <row r="3" spans="1:8" ht="15.75" thickBot="1" x14ac:dyDescent="0.3">
      <c r="A3" s="6" t="s">
        <v>8</v>
      </c>
      <c r="B3" s="53" t="s">
        <v>71</v>
      </c>
      <c r="C3" s="7"/>
      <c r="D3" s="7"/>
      <c r="E3" s="7"/>
      <c r="F3" s="8"/>
      <c r="G3" s="9"/>
      <c r="H3" s="9"/>
    </row>
    <row r="4" spans="1:8" x14ac:dyDescent="0.25">
      <c r="B4" s="3"/>
      <c r="C4" s="4"/>
      <c r="D4" s="4"/>
      <c r="E4" s="5"/>
    </row>
    <row r="5" spans="1:8" ht="15.75" thickBot="1" x14ac:dyDescent="0.3"/>
    <row r="6" spans="1:8" ht="15" customHeight="1" thickBot="1" x14ac:dyDescent="0.3">
      <c r="A6" s="12" t="s">
        <v>3</v>
      </c>
      <c r="B6" s="13" t="s">
        <v>4</v>
      </c>
      <c r="C6" s="13" t="s">
        <v>5</v>
      </c>
      <c r="D6" s="14" t="s">
        <v>2</v>
      </c>
      <c r="E6" s="12" t="s">
        <v>3</v>
      </c>
      <c r="F6" s="13" t="s">
        <v>4</v>
      </c>
      <c r="G6" s="13" t="s">
        <v>5</v>
      </c>
      <c r="H6" s="14" t="s">
        <v>2</v>
      </c>
    </row>
    <row r="7" spans="1:8" ht="15" customHeight="1" x14ac:dyDescent="0.25">
      <c r="A7" s="31">
        <v>10034618</v>
      </c>
      <c r="B7" s="21" t="s">
        <v>64</v>
      </c>
      <c r="C7" s="20" t="s">
        <v>1</v>
      </c>
      <c r="D7" s="35">
        <v>99.4</v>
      </c>
      <c r="E7" s="34">
        <v>10051212</v>
      </c>
      <c r="F7" s="25" t="s">
        <v>34</v>
      </c>
      <c r="G7" s="27" t="s">
        <v>0</v>
      </c>
      <c r="H7" s="36"/>
    </row>
    <row r="8" spans="1:8" ht="15" customHeight="1" x14ac:dyDescent="0.25">
      <c r="A8" s="18">
        <v>10034608</v>
      </c>
      <c r="B8" s="1" t="s">
        <v>65</v>
      </c>
      <c r="C8" s="15" t="s">
        <v>0</v>
      </c>
      <c r="D8" s="36"/>
      <c r="E8" s="47">
        <v>10036394</v>
      </c>
      <c r="F8" s="25" t="s">
        <v>54</v>
      </c>
      <c r="G8" s="27" t="s">
        <v>0</v>
      </c>
      <c r="H8" s="36"/>
    </row>
    <row r="9" spans="1:8" ht="15" customHeight="1" x14ac:dyDescent="0.25">
      <c r="A9" s="31">
        <v>10051282</v>
      </c>
      <c r="B9" s="21" t="s">
        <v>17</v>
      </c>
      <c r="C9" s="20" t="s">
        <v>0</v>
      </c>
      <c r="D9" s="36">
        <v>1</v>
      </c>
      <c r="E9" s="43">
        <v>10036384</v>
      </c>
      <c r="F9" s="28" t="s">
        <v>35</v>
      </c>
      <c r="G9" s="27" t="s">
        <v>0</v>
      </c>
      <c r="H9" s="36"/>
    </row>
    <row r="10" spans="1:8" ht="15" customHeight="1" x14ac:dyDescent="0.25">
      <c r="A10" s="32">
        <v>10051292</v>
      </c>
      <c r="B10" s="22" t="s">
        <v>18</v>
      </c>
      <c r="C10" s="20" t="s">
        <v>0</v>
      </c>
      <c r="D10" s="36">
        <v>2</v>
      </c>
      <c r="E10" s="34" t="s">
        <v>36</v>
      </c>
      <c r="F10" s="25" t="s">
        <v>37</v>
      </c>
      <c r="G10" s="27" t="s">
        <v>0</v>
      </c>
      <c r="H10" s="36"/>
    </row>
    <row r="11" spans="1:8" ht="15" customHeight="1" x14ac:dyDescent="0.25">
      <c r="A11" s="32">
        <v>10051302</v>
      </c>
      <c r="B11" s="22" t="s">
        <v>19</v>
      </c>
      <c r="C11" s="20" t="s">
        <v>0</v>
      </c>
      <c r="D11" s="36">
        <v>1</v>
      </c>
      <c r="E11" s="18" t="s">
        <v>38</v>
      </c>
      <c r="F11" s="1" t="s">
        <v>39</v>
      </c>
      <c r="G11" s="27" t="s">
        <v>0</v>
      </c>
      <c r="H11" s="36"/>
    </row>
    <row r="12" spans="1:8" ht="15" customHeight="1" x14ac:dyDescent="0.25">
      <c r="A12" s="31">
        <v>10051310</v>
      </c>
      <c r="B12" s="21" t="s">
        <v>20</v>
      </c>
      <c r="C12" s="20" t="s">
        <v>0</v>
      </c>
      <c r="D12" s="36"/>
      <c r="E12" s="19" t="s">
        <v>40</v>
      </c>
      <c r="F12" s="2" t="s">
        <v>41</v>
      </c>
      <c r="G12" s="27" t="s">
        <v>0</v>
      </c>
      <c r="H12" s="38"/>
    </row>
    <row r="13" spans="1:8" ht="15" customHeight="1" x14ac:dyDescent="0.25">
      <c r="A13" s="31">
        <v>10051162</v>
      </c>
      <c r="B13" s="21" t="s">
        <v>21</v>
      </c>
      <c r="C13" s="20" t="s">
        <v>0</v>
      </c>
      <c r="D13" s="36">
        <v>2</v>
      </c>
      <c r="E13" s="18" t="s">
        <v>42</v>
      </c>
      <c r="F13" s="1" t="s">
        <v>43</v>
      </c>
      <c r="G13" s="27" t="s">
        <v>0</v>
      </c>
      <c r="H13" s="36"/>
    </row>
    <row r="14" spans="1:8" ht="15" customHeight="1" x14ac:dyDescent="0.25">
      <c r="A14" s="31">
        <v>10044030</v>
      </c>
      <c r="B14" s="21" t="s">
        <v>22</v>
      </c>
      <c r="C14" s="15" t="s">
        <v>1</v>
      </c>
      <c r="D14" s="36"/>
      <c r="E14" s="18" t="s">
        <v>44</v>
      </c>
      <c r="F14" s="1" t="s">
        <v>45</v>
      </c>
      <c r="G14" s="27" t="s">
        <v>0</v>
      </c>
      <c r="H14" s="36"/>
    </row>
    <row r="15" spans="1:8" ht="15" customHeight="1" x14ac:dyDescent="0.25">
      <c r="A15" s="31">
        <v>10051609</v>
      </c>
      <c r="B15" s="21" t="s">
        <v>63</v>
      </c>
      <c r="C15" s="20" t="s">
        <v>0</v>
      </c>
      <c r="D15" s="36"/>
      <c r="E15" s="18">
        <v>10044160</v>
      </c>
      <c r="F15" s="1" t="s">
        <v>46</v>
      </c>
      <c r="G15" s="27" t="s">
        <v>0</v>
      </c>
      <c r="H15" s="36"/>
    </row>
    <row r="16" spans="1:8" ht="15" customHeight="1" x14ac:dyDescent="0.25">
      <c r="A16" s="33">
        <v>10082133</v>
      </c>
      <c r="B16" s="24" t="s">
        <v>23</v>
      </c>
      <c r="C16" s="15" t="s">
        <v>0</v>
      </c>
      <c r="D16" s="36"/>
      <c r="E16" s="18">
        <v>10037463</v>
      </c>
      <c r="F16" s="1" t="s">
        <v>47</v>
      </c>
      <c r="G16" s="20" t="s">
        <v>1</v>
      </c>
      <c r="H16" s="36"/>
    </row>
    <row r="17" spans="1:8" ht="15" customHeight="1" x14ac:dyDescent="0.25">
      <c r="A17" s="34">
        <v>10081050</v>
      </c>
      <c r="B17" s="25" t="s">
        <v>61</v>
      </c>
      <c r="C17" s="15" t="s">
        <v>24</v>
      </c>
      <c r="D17" s="36"/>
      <c r="E17" s="18">
        <v>10037473</v>
      </c>
      <c r="F17" s="1" t="s">
        <v>48</v>
      </c>
      <c r="G17" s="20" t="s">
        <v>1</v>
      </c>
      <c r="H17" s="36"/>
    </row>
    <row r="18" spans="1:8" ht="15" customHeight="1" x14ac:dyDescent="0.25">
      <c r="A18" s="18">
        <v>10081060</v>
      </c>
      <c r="B18" s="1" t="s">
        <v>62</v>
      </c>
      <c r="C18" s="15" t="s">
        <v>24</v>
      </c>
      <c r="D18" s="36"/>
      <c r="E18" s="18">
        <v>10037483</v>
      </c>
      <c r="F18" s="1" t="s">
        <v>49</v>
      </c>
      <c r="G18" s="20" t="s">
        <v>1</v>
      </c>
      <c r="H18" s="36"/>
    </row>
    <row r="19" spans="1:8" ht="15" customHeight="1" x14ac:dyDescent="0.25">
      <c r="A19" s="18">
        <v>10028060</v>
      </c>
      <c r="B19" s="1" t="s">
        <v>25</v>
      </c>
      <c r="C19" s="15" t="s">
        <v>0</v>
      </c>
      <c r="D19" s="36"/>
      <c r="E19" s="18">
        <v>10037493</v>
      </c>
      <c r="F19" s="1" t="s">
        <v>50</v>
      </c>
      <c r="G19" s="20" t="s">
        <v>1</v>
      </c>
      <c r="H19" s="36"/>
    </row>
    <row r="20" spans="1:8" ht="15" customHeight="1" x14ac:dyDescent="0.25">
      <c r="A20" s="32">
        <v>10024020</v>
      </c>
      <c r="B20" s="23" t="s">
        <v>26</v>
      </c>
      <c r="C20" s="29" t="s">
        <v>1</v>
      </c>
      <c r="D20" s="36"/>
      <c r="E20" s="18">
        <v>10037512</v>
      </c>
      <c r="F20" s="1" t="s">
        <v>51</v>
      </c>
      <c r="G20" s="27" t="s">
        <v>0</v>
      </c>
      <c r="H20" s="36"/>
    </row>
    <row r="21" spans="1:8" ht="15" customHeight="1" x14ac:dyDescent="0.25">
      <c r="A21" s="31">
        <v>10031122</v>
      </c>
      <c r="B21" s="21" t="s">
        <v>27</v>
      </c>
      <c r="C21" s="20" t="s">
        <v>0</v>
      </c>
      <c r="D21" s="36"/>
      <c r="E21" s="19">
        <v>10051743</v>
      </c>
      <c r="F21" s="2" t="s">
        <v>52</v>
      </c>
      <c r="G21" s="42" t="s">
        <v>0</v>
      </c>
      <c r="H21" s="38"/>
    </row>
    <row r="22" spans="1:8" ht="15" customHeight="1" x14ac:dyDescent="0.25">
      <c r="A22" s="31">
        <v>1044100</v>
      </c>
      <c r="B22" s="21" t="s">
        <v>28</v>
      </c>
      <c r="C22" s="20" t="s">
        <v>1</v>
      </c>
      <c r="D22" s="36"/>
      <c r="E22" s="18">
        <v>10051763</v>
      </c>
      <c r="F22" s="1" t="s">
        <v>53</v>
      </c>
      <c r="G22" s="17" t="s">
        <v>0</v>
      </c>
      <c r="H22" s="36"/>
    </row>
    <row r="23" spans="1:8" ht="15" customHeight="1" x14ac:dyDescent="0.25">
      <c r="A23" s="32">
        <v>10053182</v>
      </c>
      <c r="B23" s="22" t="s">
        <v>29</v>
      </c>
      <c r="C23" s="15" t="s">
        <v>0</v>
      </c>
      <c r="D23" s="36"/>
      <c r="E23" s="18">
        <v>10027163</v>
      </c>
      <c r="F23" s="1" t="s">
        <v>55</v>
      </c>
      <c r="G23" s="17" t="s">
        <v>0</v>
      </c>
      <c r="H23" s="36"/>
    </row>
    <row r="24" spans="1:8" ht="15" customHeight="1" x14ac:dyDescent="0.25">
      <c r="A24" s="40">
        <v>10051322</v>
      </c>
      <c r="B24" s="41" t="s">
        <v>32</v>
      </c>
      <c r="C24" s="16" t="s">
        <v>0</v>
      </c>
      <c r="D24" s="38"/>
      <c r="E24" s="18">
        <v>10028060</v>
      </c>
      <c r="F24" s="1" t="s">
        <v>25</v>
      </c>
      <c r="G24" s="17" t="s">
        <v>0</v>
      </c>
      <c r="H24" s="36"/>
    </row>
    <row r="25" spans="1:8" ht="15" customHeight="1" x14ac:dyDescent="0.25">
      <c r="A25" s="34">
        <v>10051152</v>
      </c>
      <c r="B25" s="25" t="s">
        <v>30</v>
      </c>
      <c r="C25" s="27" t="s">
        <v>0</v>
      </c>
      <c r="D25" s="36"/>
      <c r="E25" s="18">
        <v>10044180</v>
      </c>
      <c r="F25" s="1" t="s">
        <v>56</v>
      </c>
      <c r="G25" s="17" t="s">
        <v>0</v>
      </c>
      <c r="H25" s="35"/>
    </row>
    <row r="26" spans="1:8" ht="15" customHeight="1" x14ac:dyDescent="0.25">
      <c r="A26" s="43">
        <v>10051822</v>
      </c>
      <c r="B26" s="28" t="s">
        <v>31</v>
      </c>
      <c r="C26" s="27" t="s">
        <v>0</v>
      </c>
      <c r="D26" s="36"/>
      <c r="E26" s="30" t="s">
        <v>57</v>
      </c>
      <c r="F26" s="1" t="s">
        <v>58</v>
      </c>
      <c r="G26" s="55" t="s">
        <v>0</v>
      </c>
      <c r="H26" s="54"/>
    </row>
    <row r="27" spans="1:8" ht="15" customHeight="1" thickBot="1" x14ac:dyDescent="0.3">
      <c r="A27" s="44">
        <v>10051202</v>
      </c>
      <c r="B27" s="45" t="s">
        <v>33</v>
      </c>
      <c r="C27" s="46" t="s">
        <v>0</v>
      </c>
      <c r="D27" s="37"/>
      <c r="E27" s="39">
        <v>10034244</v>
      </c>
      <c r="F27" s="10" t="s">
        <v>67</v>
      </c>
      <c r="G27" s="10" t="s">
        <v>0</v>
      </c>
      <c r="H27" s="11">
        <v>1</v>
      </c>
    </row>
    <row r="28" spans="1:8" ht="15" customHeight="1" x14ac:dyDescent="0.25">
      <c r="A28" s="56" t="s">
        <v>59</v>
      </c>
      <c r="B28" s="57"/>
      <c r="C28" s="57"/>
      <c r="D28" s="57"/>
      <c r="E28" s="57"/>
      <c r="F28" s="57"/>
      <c r="G28" s="57"/>
      <c r="H28" s="58"/>
    </row>
    <row r="29" spans="1:8" ht="15" customHeight="1" x14ac:dyDescent="0.25">
      <c r="A29" s="59"/>
      <c r="B29" s="60"/>
      <c r="C29" s="60"/>
      <c r="D29" s="60"/>
      <c r="E29" s="60"/>
      <c r="F29" s="60"/>
      <c r="G29" s="60"/>
      <c r="H29" s="61"/>
    </row>
    <row r="30" spans="1:8" ht="15" customHeight="1" thickBot="1" x14ac:dyDescent="0.3">
      <c r="A30" s="62"/>
      <c r="B30" s="63"/>
      <c r="C30" s="63"/>
      <c r="D30" s="63"/>
      <c r="E30" s="63"/>
      <c r="F30" s="63"/>
      <c r="G30" s="63"/>
      <c r="H30" s="64"/>
    </row>
  </sheetData>
  <mergeCells count="3">
    <mergeCell ref="A28:H28"/>
    <mergeCell ref="A29:H29"/>
    <mergeCell ref="A30:H30"/>
  </mergeCells>
  <pageMargins left="0.7" right="0.7" top="0.78740157499999996" bottom="0.78740157499999996" header="0.3" footer="0.3"/>
  <pageSetup paperSize="9" orientation="landscape" r:id="rId1"/>
  <headerFooter>
    <oddHeader>&amp;C&amp;"-,Fett"&amp;16Aufmaß Montage Telekom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M20"/>
  <sheetViews>
    <sheetView tabSelected="1" workbookViewId="0">
      <selection activeCell="A5" sqref="A5"/>
    </sheetView>
  </sheetViews>
  <sheetFormatPr baseColWidth="10" defaultColWidth="10.7109375" defaultRowHeight="15" x14ac:dyDescent="0.25"/>
  <cols>
    <col min="3" max="3" width="15.5703125" customWidth="1"/>
    <col min="4" max="9" width="10.28515625" customWidth="1"/>
    <col min="11" max="11" width="10.28515625" customWidth="1"/>
    <col min="12" max="12" width="5.85546875" hidden="1" customWidth="1"/>
  </cols>
  <sheetData>
    <row r="1" spans="1:13" x14ac:dyDescent="0.25">
      <c r="A1" s="66" t="s">
        <v>10</v>
      </c>
      <c r="B1" s="67"/>
      <c r="C1" s="67"/>
      <c r="D1" s="67"/>
      <c r="E1" s="67"/>
      <c r="F1" s="67"/>
      <c r="G1" s="67"/>
      <c r="H1" s="67"/>
      <c r="I1" s="68"/>
      <c r="J1" s="66">
        <f>Aufmaß!B1</f>
        <v>211381235</v>
      </c>
      <c r="K1" s="67"/>
      <c r="L1" s="67"/>
      <c r="M1" s="72"/>
    </row>
    <row r="2" spans="1:13" x14ac:dyDescent="0.25">
      <c r="A2" s="69"/>
      <c r="B2" s="70"/>
      <c r="C2" s="70"/>
      <c r="D2" s="70"/>
      <c r="E2" s="70"/>
      <c r="F2" s="70"/>
      <c r="G2" s="70"/>
      <c r="H2" s="70"/>
      <c r="I2" s="71"/>
      <c r="J2" s="69"/>
      <c r="K2" s="70"/>
      <c r="L2" s="70"/>
      <c r="M2" s="73"/>
    </row>
    <row r="3" spans="1:13" x14ac:dyDescent="0.25">
      <c r="A3" s="85" t="s">
        <v>9</v>
      </c>
      <c r="B3" s="85" t="s">
        <v>11</v>
      </c>
      <c r="C3" s="74" t="s">
        <v>12</v>
      </c>
      <c r="D3" s="75"/>
      <c r="E3" s="75"/>
      <c r="F3" s="75"/>
      <c r="G3" s="76"/>
      <c r="H3" s="76"/>
      <c r="I3" s="77"/>
      <c r="J3" s="78" t="s">
        <v>13</v>
      </c>
      <c r="K3" s="79"/>
      <c r="L3" s="79"/>
      <c r="M3" s="80"/>
    </row>
    <row r="4" spans="1:13" x14ac:dyDescent="0.25">
      <c r="A4" s="86"/>
      <c r="B4" s="86"/>
      <c r="C4" s="48" t="s">
        <v>68</v>
      </c>
      <c r="D4" s="48" t="s">
        <v>60</v>
      </c>
      <c r="E4" s="48" t="s">
        <v>14</v>
      </c>
      <c r="F4" s="48" t="s">
        <v>16</v>
      </c>
      <c r="G4" s="48" t="s">
        <v>66</v>
      </c>
      <c r="H4" s="48" t="s">
        <v>69</v>
      </c>
      <c r="I4" s="49"/>
      <c r="J4" s="81"/>
      <c r="K4" s="82"/>
      <c r="L4" s="82"/>
      <c r="M4" s="83"/>
    </row>
    <row r="5" spans="1:13" x14ac:dyDescent="0.25">
      <c r="A5" s="50" t="s">
        <v>72</v>
      </c>
      <c r="B5" s="50"/>
      <c r="C5" s="51"/>
      <c r="D5" s="51">
        <v>2</v>
      </c>
      <c r="E5" s="51"/>
      <c r="F5" s="51"/>
      <c r="G5" s="51">
        <v>2</v>
      </c>
      <c r="H5" s="51"/>
      <c r="I5" s="51"/>
      <c r="J5" s="65"/>
      <c r="K5" s="65"/>
      <c r="L5" s="65"/>
      <c r="M5" s="65"/>
    </row>
    <row r="6" spans="1:13" x14ac:dyDescent="0.25">
      <c r="A6" s="50"/>
      <c r="B6" s="50"/>
      <c r="C6" s="51"/>
      <c r="D6" s="51"/>
      <c r="E6" s="51"/>
      <c r="F6" s="51"/>
      <c r="G6" s="51"/>
      <c r="H6" s="51"/>
      <c r="I6" s="51"/>
      <c r="J6" s="65"/>
      <c r="K6" s="65"/>
      <c r="L6" s="65"/>
      <c r="M6" s="65"/>
    </row>
    <row r="7" spans="1:13" x14ac:dyDescent="0.25">
      <c r="A7" s="50"/>
      <c r="B7" s="50"/>
      <c r="C7" s="51"/>
      <c r="D7" s="51"/>
      <c r="E7" s="51"/>
      <c r="F7" s="51"/>
      <c r="G7" s="51"/>
      <c r="H7" s="51"/>
      <c r="I7" s="51"/>
      <c r="J7" s="65"/>
      <c r="K7" s="65"/>
      <c r="L7" s="65"/>
      <c r="M7" s="65"/>
    </row>
    <row r="8" spans="1:13" x14ac:dyDescent="0.25">
      <c r="A8" s="50"/>
      <c r="B8" s="50"/>
      <c r="C8" s="51"/>
      <c r="D8" s="51"/>
      <c r="E8" s="51"/>
      <c r="F8" s="51"/>
      <c r="G8" s="51"/>
      <c r="H8" s="51"/>
      <c r="I8" s="51"/>
      <c r="J8" s="65"/>
      <c r="K8" s="65"/>
      <c r="L8" s="65"/>
      <c r="M8" s="65"/>
    </row>
    <row r="9" spans="1:13" x14ac:dyDescent="0.25">
      <c r="A9" s="50"/>
      <c r="B9" s="50"/>
      <c r="C9" s="51"/>
      <c r="D9" s="51"/>
      <c r="E9" s="51"/>
      <c r="F9" s="51"/>
      <c r="G9" s="51"/>
      <c r="H9" s="51"/>
      <c r="I9" s="51"/>
      <c r="J9" s="65"/>
      <c r="K9" s="65"/>
      <c r="L9" s="65"/>
      <c r="M9" s="65"/>
    </row>
    <row r="10" spans="1:13" x14ac:dyDescent="0.25">
      <c r="A10" s="50"/>
      <c r="B10" s="50"/>
      <c r="C10" s="51"/>
      <c r="D10" s="51"/>
      <c r="E10" s="51"/>
      <c r="F10" s="51"/>
      <c r="G10" s="51"/>
      <c r="H10" s="51"/>
      <c r="I10" s="51"/>
      <c r="J10" s="65"/>
      <c r="K10" s="65"/>
      <c r="L10" s="65"/>
      <c r="M10" s="65"/>
    </row>
    <row r="11" spans="1:13" x14ac:dyDescent="0.25">
      <c r="A11" s="50"/>
      <c r="B11" s="50"/>
      <c r="C11" s="51"/>
      <c r="D11" s="51"/>
      <c r="E11" s="51"/>
      <c r="F11" s="51"/>
      <c r="G11" s="51"/>
      <c r="H11" s="51"/>
      <c r="I11" s="51"/>
      <c r="J11" s="65"/>
      <c r="K11" s="65"/>
      <c r="L11" s="65"/>
      <c r="M11" s="65"/>
    </row>
    <row r="12" spans="1:13" x14ac:dyDescent="0.25">
      <c r="A12" s="50"/>
      <c r="B12" s="50"/>
      <c r="C12" s="51"/>
      <c r="D12" s="51"/>
      <c r="E12" s="51"/>
      <c r="F12" s="51"/>
      <c r="G12" s="51"/>
      <c r="H12" s="51"/>
      <c r="I12" s="51"/>
      <c r="J12" s="65"/>
      <c r="K12" s="65"/>
      <c r="L12" s="65"/>
      <c r="M12" s="65"/>
    </row>
    <row r="13" spans="1:13" x14ac:dyDescent="0.25">
      <c r="A13" s="50"/>
      <c r="B13" s="50"/>
      <c r="C13" s="51"/>
      <c r="D13" s="51"/>
      <c r="E13" s="51"/>
      <c r="F13" s="51"/>
      <c r="G13" s="51"/>
      <c r="H13" s="51"/>
      <c r="I13" s="51"/>
      <c r="J13" s="65"/>
      <c r="K13" s="65"/>
      <c r="L13" s="65"/>
      <c r="M13" s="65"/>
    </row>
    <row r="14" spans="1:13" x14ac:dyDescent="0.25">
      <c r="A14" s="50"/>
      <c r="B14" s="50"/>
      <c r="C14" s="51"/>
      <c r="D14" s="51"/>
      <c r="E14" s="51"/>
      <c r="F14" s="51"/>
      <c r="G14" s="51"/>
      <c r="H14" s="51"/>
      <c r="I14" s="51"/>
      <c r="J14" s="65"/>
      <c r="K14" s="65"/>
      <c r="L14" s="65"/>
      <c r="M14" s="65"/>
    </row>
    <row r="15" spans="1:13" x14ac:dyDescent="0.25">
      <c r="A15" s="50"/>
      <c r="B15" s="50"/>
      <c r="C15" s="51"/>
      <c r="D15" s="51"/>
      <c r="E15" s="51"/>
      <c r="F15" s="51"/>
      <c r="G15" s="51"/>
      <c r="H15" s="51"/>
      <c r="I15" s="51"/>
      <c r="J15" s="65"/>
      <c r="K15" s="65"/>
      <c r="L15" s="65"/>
      <c r="M15" s="65"/>
    </row>
    <row r="16" spans="1:13" x14ac:dyDescent="0.25">
      <c r="A16" s="50"/>
      <c r="B16" s="50"/>
      <c r="C16" s="51"/>
      <c r="D16" s="51"/>
      <c r="E16" s="51"/>
      <c r="F16" s="51"/>
      <c r="G16" s="51"/>
      <c r="H16" s="51"/>
      <c r="I16" s="51"/>
      <c r="J16" s="65"/>
      <c r="K16" s="65"/>
      <c r="L16" s="65"/>
      <c r="M16" s="65"/>
    </row>
    <row r="17" spans="1:13" x14ac:dyDescent="0.25">
      <c r="A17" s="50"/>
      <c r="B17" s="50"/>
      <c r="C17" s="51"/>
      <c r="D17" s="51"/>
      <c r="E17" s="51"/>
      <c r="F17" s="51"/>
      <c r="G17" s="51"/>
      <c r="H17" s="51"/>
      <c r="I17" s="51"/>
      <c r="J17" s="65"/>
      <c r="K17" s="65"/>
      <c r="L17" s="65"/>
      <c r="M17" s="65"/>
    </row>
    <row r="18" spans="1:13" x14ac:dyDescent="0.25">
      <c r="A18" s="50"/>
      <c r="B18" s="50"/>
      <c r="C18" s="51"/>
      <c r="D18" s="51"/>
      <c r="E18" s="51"/>
      <c r="F18" s="51"/>
      <c r="G18" s="51"/>
      <c r="H18" s="51"/>
      <c r="I18" s="51"/>
      <c r="J18" s="65"/>
      <c r="K18" s="65"/>
      <c r="L18" s="65"/>
      <c r="M18" s="65"/>
    </row>
    <row r="19" spans="1:13" x14ac:dyDescent="0.25">
      <c r="A19" s="50"/>
      <c r="B19" s="50"/>
      <c r="C19" s="51"/>
      <c r="D19" s="51"/>
      <c r="E19" s="51"/>
      <c r="F19" s="51"/>
      <c r="G19" s="51"/>
      <c r="H19" s="51"/>
      <c r="I19" s="51"/>
      <c r="J19" s="65"/>
      <c r="K19" s="65"/>
      <c r="L19" s="65"/>
      <c r="M19" s="65"/>
    </row>
    <row r="20" spans="1:13" x14ac:dyDescent="0.25">
      <c r="A20" s="84" t="s">
        <v>15</v>
      </c>
      <c r="B20" s="84"/>
      <c r="C20" s="26">
        <f t="shared" ref="C20:I20" si="0">SUM(C5:C19)</f>
        <v>0</v>
      </c>
      <c r="D20" s="26">
        <f t="shared" si="0"/>
        <v>2</v>
      </c>
      <c r="E20" s="26">
        <f t="shared" si="0"/>
        <v>0</v>
      </c>
      <c r="F20" s="26">
        <f t="shared" si="0"/>
        <v>0</v>
      </c>
      <c r="G20" s="26">
        <f t="shared" si="0"/>
        <v>2</v>
      </c>
      <c r="H20" s="26">
        <f t="shared" si="0"/>
        <v>0</v>
      </c>
      <c r="I20" s="26">
        <f t="shared" si="0"/>
        <v>0</v>
      </c>
      <c r="J20" s="87">
        <f>SUM(C20:H20)</f>
        <v>4</v>
      </c>
      <c r="K20" s="87"/>
      <c r="L20" s="87"/>
      <c r="M20" s="87"/>
    </row>
  </sheetData>
  <mergeCells count="23">
    <mergeCell ref="A20:B20"/>
    <mergeCell ref="A3:A4"/>
    <mergeCell ref="B3:B4"/>
    <mergeCell ref="J16:M16"/>
    <mergeCell ref="J17:M17"/>
    <mergeCell ref="J18:M18"/>
    <mergeCell ref="J19:M19"/>
    <mergeCell ref="J20:M20"/>
    <mergeCell ref="J6:M6"/>
    <mergeCell ref="J7:M7"/>
    <mergeCell ref="J8:M8"/>
    <mergeCell ref="J9:M9"/>
    <mergeCell ref="J10:M10"/>
    <mergeCell ref="J11:M11"/>
    <mergeCell ref="J12:M12"/>
    <mergeCell ref="J13:M13"/>
    <mergeCell ref="J14:M14"/>
    <mergeCell ref="J15:M15"/>
    <mergeCell ref="A1:I2"/>
    <mergeCell ref="J1:M2"/>
    <mergeCell ref="C3:I3"/>
    <mergeCell ref="J3:M4"/>
    <mergeCell ref="J5:M5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Aufmaß</vt:lpstr>
      <vt:lpstr>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Sebastian Kleinau</cp:lastModifiedBy>
  <cp:lastPrinted>2020-03-11T10:16:22Z</cp:lastPrinted>
  <dcterms:created xsi:type="dcterms:W3CDTF">2020-03-05T06:59:45Z</dcterms:created>
  <dcterms:modified xsi:type="dcterms:W3CDTF">2026-04-27T08:51:14Z</dcterms:modified>
</cp:coreProperties>
</file>